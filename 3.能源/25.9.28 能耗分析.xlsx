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435" windowHeight="1041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<sst xmlns="http://schemas.openxmlformats.org/spreadsheetml/2006/main" count="107" uniqueCount="98">
  <si>
    <t>能源种类</t>
  </si>
  <si>
    <t>人均（装机）</t>
  </si>
  <si>
    <t>总</t>
  </si>
  <si>
    <t>备注</t>
  </si>
  <si>
    <t>总能耗</t>
  </si>
  <si>
    <t>359,352,000 千瓦时/年</t>
  </si>
  <si>
    <t>上方为能源计算</t>
  </si>
  <si>
    <t>能源</t>
  </si>
  <si>
    <t>年发电量 (kWh/年)</t>
  </si>
  <si>
    <t>占比</t>
  </si>
  <si>
    <t>估算装机容量 (MW 或 kW)</t>
  </si>
  <si>
    <t>计算过程</t>
  </si>
  <si>
    <t>网址</t>
  </si>
  <si>
    <t>以及能耗优先级</t>
  </si>
  <si>
    <t>太阳能（高效屋顶优先）</t>
  </si>
  <si>
    <t>714 kW</t>
  </si>
  <si>
    <t>工业屋顶投影 = 4,000 × 60% = 2,400 m²。可用（最大） = 2,400 × 65% = 1,560 m²。
NREL 文献
商业屋顶投影 = 2,000 × 60% = 1,200 m²。可用（最大） = 1,200 × 65% = 780 m²。
NREL 文献
住宅（穹顶）投影 = 1,600 m²。按上文“半球50%表面可用→等于投影面积”取 住宅可用 = 1,600 m²。（参考曲面PV可行性研究。）
UCL Discovery
+1
（核电站穹顶外露）参考投影 ≈ 1,533 m²（这个值我将视为包含在工业可用面积或可特别申明用于核电穹顶；为了避免重复计入总面积，我把核电穹顶视为包含在工业屋顶资产内，但同时指出核电穹顶单体可利用面积约 1,533 m²，可独立安装。）核电容器尺寸来源（AP1000 等资料）。
科学直通车
合计（不重复计算核电单体）我们得到总可用屋面面积（用于放置模块，按最大值） =
1,560 (工业) + 780 (商业) + 1,600 (住宅) = 3,940 m²。</t>
  </si>
  <si>
    <t>LONGi 700W（尺寸 2.382×1.134 m = 2.704 m²）→ 259 W/m²（700 ÷ 2.704）。LONGi Solar EuropeLONGi 情形：2,758.0 m² × 259 W/m² = 714,322 Wp = 714.322 kWp。  LONGi → ≈1,138,929 kWh/年（≈1.139 GWh/年）。
ProfileSolar</t>
  </si>
  <si>
    <t xml:space="preserve">https://profilesolar.com/locations/China/Dalian/                      https://eu.longi.com/press/longi-unveils-hibc-module-with-world-first-700w-at-25-9-efficiency-and-259-w-m2-power-density?utm_source=chatgpt.com      </t>
  </si>
  <si>
    <t>https://www.sciencedirect.com/science/article/pii/S1738573317302358?utm_source=chatgpt.com     https://discovery.ucl.ac.uk/18982/1/18982.pdf?utm_source=chatgpt.com</t>
  </si>
  <si>
    <t>核能</t>
  </si>
  <si>
    <t xml:space="preserve">77 MWe </t>
  </si>
  <si>
    <t>77 MWe × 365 × 24 × 0.95 = 640794000 千瓦时（kWh）</t>
  </si>
  <si>
    <t>NuScale Power 官方网站https://www.nuscalepower.com/products/nuscale-power-module</t>
  </si>
  <si>
    <t>合计（年产）</t>
  </si>
  <si>
    <t>优先级</t>
  </si>
  <si>
    <t>功能区域</t>
  </si>
  <si>
    <t>年总耗电量（kWh）</t>
  </si>
  <si>
    <t>人均年耗电量（kWh）</t>
  </si>
  <si>
    <t>数据来源</t>
  </si>
  <si>
    <t>能耗优先级</t>
  </si>
  <si>
    <t>超级AI中控室</t>
  </si>
  <si>
    <t>10 MW × 24小时/天 × 365天 = 87,600 MWh/年（即87.6 GWh/年）。
•AI算法负荷年能耗 = 87.6 GWh × 50% = 43.8 GWh/年。
•冷却系统年能耗 = 87.6 GWh × 30% = 26.28 GWh/年。总能耗：87.6 GWh + 26.28 GWh + 43.8 GWh = 157.68 GWh/年（即157,680,000 kWh/年）。</t>
  </si>
  <si>
    <t>Fugaku Supercomputer Energy Usage：Japan Times - Fugaku Supercomputer</t>
  </si>
  <si>
    <t>住宅区</t>
  </si>
  <si>
    <t>EIA：US avg residential 10,632 kWh/household → ~4,253 kWh/person (assume 2.5 ppl/household)，取 4,000 kWh/人/yr 作为发达代表。https://www.eia.gov/tools/faqs/faq.php?id=97&amp;t=3</t>
  </si>
  <si>
    <t>中央厨房</t>
  </si>
  <si>
    <t>EIA CBECS 餐饮：263.3 MBtu/ft²·yr → 77.1 kWh/ft²·yr；假设 500 m² (≈5,382 ft²)，总能耗≈414,000 kWh/yr，电气化 70% → 289,800 kWh/yr。https://www.eia.gov/consumption/commercial/pba/food-service.php</t>
  </si>
  <si>
    <t>农业设施</t>
  </si>
  <si>
    <t>https://fsi-live.s3.us-west-1.amazonaws.com/s3fs-public/Pan_5nov.pdf</t>
  </si>
  <si>
    <t>工业生产区</t>
  </si>
  <si>
    <t>1.EIA - Steel production energy consumption
2. EIA - Cement production energy consumption
3. IEA - The future of cooling</t>
  </si>
  <si>
    <t>公共服务设施</t>
  </si>
  <si>
    <t>。参考 EIA/OECD 公共建筑能耗基线 https://www.eia.gov/consumption/commercial/</t>
  </si>
  <si>
    <t>工业子类 / 用途</t>
  </si>
  <si>
    <t>年电力需求 (kWh/年)</t>
  </si>
  <si>
    <t>科技研究所</t>
  </si>
  <si>
    <t>https://home.cern/news/news/knowledge-sharing/energy-efficiency-and-power-management-cern</t>
  </si>
  <si>
    <t>化工 / 化学制品</t>
  </si>
  <si>
    <t>年能耗（kWh）</t>
  </si>
  <si>
    <t>计算依据与来源</t>
  </si>
  <si>
    <t>数据中心</t>
  </si>
  <si>
    <t>取发达国家中等偏高值 1,200,000 kWh/yr。参考 IEA 数据中心能耗报告。https://www.iea.org/reports/data-centre-energy-consumption</t>
  </si>
  <si>
    <t>金属 / 冶炼</t>
  </si>
  <si>
    <t>医疗设施</t>
  </si>
  <si>
    <t>假设50张床位，每床位年消耗4,000 kWh (Energy Use in Hospitals - US DOE)</t>
  </si>
  <si>
    <t>水、固体废弃物处理</t>
  </si>
  <si>
    <t>World Bank / MDPI / EPA 综述）</t>
  </si>
  <si>
    <t>建材 / 水泥</t>
  </si>
  <si>
    <t>教育设施</t>
  </si>
  <si>
    <t>假设每人年均消耗800 kWh，2139人计算 (EIA - Energy Consumption in Educational Facilities)</t>
  </si>
  <si>
    <t>设施类型</t>
  </si>
  <si>
    <t>总计</t>
  </si>
  <si>
    <t>各项合计</t>
  </si>
  <si>
    <t>电子 / 机械设备 / 电器</t>
  </si>
  <si>
    <t>交通与通信</t>
  </si>
  <si>
    <t>公交车每辆80,000 kWh，5辆，通信设施1,000,000 kWh (US EPA)</t>
  </si>
  <si>
    <t>服务器与存储设备</t>
  </si>
  <si>
    <t>假设50台服务器，每台0.8 kW，Uptime Institute</t>
  </si>
  <si>
    <t>食品 / 饮料 / 烟草</t>
  </si>
  <si>
    <t>冷却系统</t>
  </si>
  <si>
    <t>假设占能耗的40%，基于服务器能耗，Energy Star</t>
  </si>
  <si>
    <t>112,420 kWh/yr，人均 56.21 kWh/人/yr</t>
  </si>
  <si>
    <t>纺织 / 皮革</t>
  </si>
  <si>
    <t>UPS系统</t>
  </si>
  <si>
    <t>假设占能耗的10%，基于服务器能耗，Energy Efficiency</t>
  </si>
  <si>
    <t>木材 / 造纸 / 建材</t>
  </si>
  <si>
    <t>通信设备</t>
  </si>
  <si>
    <t>假设通信设备年消耗50,000 kWh，EIA</t>
  </si>
  <si>
    <t>电解制氢气</t>
  </si>
  <si>
    <t>其他 / 杂项</t>
  </si>
  <si>
    <t>总工业电力需求</t>
  </si>
  <si>
    <t>人均工业电力负荷</t>
  </si>
  <si>
    <t>工业类型</t>
  </si>
  <si>
    <t>计算依据/来源</t>
  </si>
  <si>
    <t>钢铁生产</t>
  </si>
  <si>
    <t>假设每年生产50,000吨钢，钢铁生产需消耗约4 GJ/吨，1 GJ = 0.278 kWh (EIA)</t>
  </si>
  <si>
    <t>水泥生产</t>
  </si>
  <si>
    <t>假设每年生产30,000吨水泥，水泥生产需消耗约4.5 GJ/吨 (EIA)</t>
  </si>
  <si>
    <t>化肥生产</t>
  </si>
  <si>
    <t>假设每年生产10,000吨化肥，化肥生产需消耗约12 GJ/吨 (EIA)</t>
  </si>
  <si>
    <t>计算机设备制造</t>
  </si>
  <si>
    <t>平均电子制造的能耗，来源：IEA</t>
  </si>
  <si>
    <t>平均通信设备制造的能耗，来源：IEA</t>
  </si>
  <si>
    <t>电力设施</t>
  </si>
  <si>
    <t>电力生产设施消耗的电力，来源：EIA</t>
  </si>
  <si>
    <t>交通运输</t>
  </si>
  <si>
    <t>运输系统所需电力，来源：EIA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</si>
</sst>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b/>
      <i/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8"/>
      <color theme="5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48"/>
      <color theme="1"/>
      <name val="等线"/>
      <charset val="134"/>
      <scheme val="minor"/>
    </font>
    <font>
      <sz val="24"/>
      <color theme="5"/>
      <name val="等线"/>
      <charset val="134"/>
      <scheme val="minor"/>
    </font>
    <font>
      <u/>
      <sz val="11"/>
      <color theme="10"/>
      <name val="等线"/>
      <charset val="134"/>
      <scheme val="minor"/>
    </font>
    <font>
      <b/>
      <i/>
      <sz val="20"/>
      <color theme="8" tint="-0.249977111117893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b/>
      <i/>
      <sz val="20"/>
      <color theme="6" tint="0.399975585192419"/>
      <name val="等线"/>
      <charset val="134"/>
      <scheme val="minor"/>
    </font>
    <font>
      <b/>
      <i/>
      <sz val="24"/>
      <color theme="5"/>
      <name val="等线"/>
      <charset val="134"/>
      <scheme val="minor"/>
    </font>
    <font>
      <i/>
      <sz val="20"/>
      <color theme="8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4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5" borderId="4" applyNumberFormat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3" fontId="2" fillId="0" borderId="0" xfId="0" applyNumberFormat="1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2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3" fontId="0" fillId="0" borderId="0" xfId="0" applyNumberFormat="1" applyAlignment="1">
      <alignment vertical="center" wrapText="1"/>
    </xf>
    <xf numFmtId="0" fontId="8" fillId="0" borderId="0" xfId="6" applyAlignment="1">
      <alignment vertical="center" wrapText="1"/>
    </xf>
    <xf numFmtId="4" fontId="0" fillId="0" borderId="0" xfId="0" applyNumberFormat="1">
      <alignment vertical="center"/>
    </xf>
    <xf numFmtId="0" fontId="8" fillId="0" borderId="0" xfId="6">
      <alignment vertical="center"/>
    </xf>
    <xf numFmtId="0" fontId="9" fillId="0" borderId="0" xfId="0" applyFont="1" applyAlignment="1">
      <alignment vertical="center" wrapText="1"/>
    </xf>
    <xf numFmtId="0" fontId="8" fillId="0" borderId="0" xfId="6" applyAlignment="1">
      <alignment horizontal="right" vertical="center" wrapText="1"/>
    </xf>
    <xf numFmtId="0" fontId="10" fillId="0" borderId="0" xfId="6" applyFont="1">
      <alignment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energy.gov/eere/slsc/commercial-buildings-energy-efficiency" TargetMode="External"/><Relationship Id="rId8" Type="http://schemas.openxmlformats.org/officeDocument/2006/relationships/hyperlink" Target="https://www.eia.gov/consumption/commercial/" TargetMode="External"/><Relationship Id="rId7" Type="http://schemas.openxmlformats.org/officeDocument/2006/relationships/hyperlink" Target="https://www.epa.gov/energy/energy-use-waste-disposal" TargetMode="External"/><Relationship Id="rId6" Type="http://schemas.openxmlformats.org/officeDocument/2006/relationships/hyperlink" Target="https://uptimeinstitute.com/" TargetMode="External"/><Relationship Id="rId5" Type="http://schemas.openxmlformats.org/officeDocument/2006/relationships/hyperlink" Target="https://www.energystar.gov/" TargetMode="External"/><Relationship Id="rId4" Type="http://schemas.openxmlformats.org/officeDocument/2006/relationships/hyperlink" Target="https://www.energy.gov/" TargetMode="External"/><Relationship Id="rId3" Type="http://schemas.openxmlformats.org/officeDocument/2006/relationships/hyperlink" Target="https://www.eia.gov/renewables/" TargetMode="External"/><Relationship Id="rId2" Type="http://schemas.openxmlformats.org/officeDocument/2006/relationships/hyperlink" Target="https://www.iea.org/reports/the-future-of-cooling" TargetMode="External"/><Relationship Id="rId14" Type="http://schemas.openxmlformats.org/officeDocument/2006/relationships/hyperlink" Target="https://home.cern/news/news/knowledge-sharing/energy-efficiency-and-power-management-cern" TargetMode="External"/><Relationship Id="rId13" Type="http://schemas.openxmlformats.org/officeDocument/2006/relationships/hyperlink" Target="https://fsi-live.s3.us-west-1.amazonaws.com/s3fs-public/Pan_5nov.pdf" TargetMode="External"/><Relationship Id="rId12" Type="http://schemas.openxmlformats.org/officeDocument/2006/relationships/hyperlink" Target="https://www.sciencedirect.com/science/article/pii/S1738573317302358?utm_source=chatgpt.com     https://discovery.ucl.ac.uk/18982/1/18982.pdf?utm_source=chatgpt.com" TargetMode="External"/><Relationship Id="rId11" Type="http://schemas.openxmlformats.org/officeDocument/2006/relationships/hyperlink" Target="https://profilesolar.com/locations/China/Dalian/                      https://eu.longi.com/press/longi-unveils-hibc-module-with-world-first-700w-at-25-9-efficiency-and-259-w-m2-power-density?utm_source=chatgpt.com" TargetMode="External"/><Relationship Id="rId10" Type="http://schemas.openxmlformats.org/officeDocument/2006/relationships/hyperlink" Target="https://eu.longi.com/press/longi-unveils-hibc-module-with-world-first-700w-at-25-9-efficiency-and-259-w-m2-power-density?utm_source=chatgpt.com" TargetMode="External"/><Relationship Id="rId1" Type="http://schemas.openxmlformats.org/officeDocument/2006/relationships/hyperlink" Target="https://www.eia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1"/>
  <sheetViews>
    <sheetView tabSelected="1" zoomScale="85" zoomScaleNormal="85" topLeftCell="G18" workbookViewId="0">
      <selection activeCell="K23" sqref="K23"/>
    </sheetView>
  </sheetViews>
  <sheetFormatPr defaultColWidth="9" defaultRowHeight="13.85"/>
  <cols>
    <col min="1" max="1" width="22.0796460176991" customWidth="1"/>
    <col min="2" max="2" width="8.75221238938053" customWidth="1"/>
    <col min="3" max="3" width="19.5044247787611" customWidth="1"/>
    <col min="4" max="4" width="19" customWidth="1"/>
    <col min="5" max="5" width="15.5044247787611" customWidth="1"/>
    <col min="6" max="6" width="47.1681415929204" customWidth="1"/>
    <col min="7" max="7" width="38.212389380531" customWidth="1"/>
    <col min="8" max="8" width="29.9646017699115" customWidth="1"/>
    <col min="9" max="9" width="10.0796460176991" customWidth="1"/>
    <col min="10" max="10" width="17.8672566371681" customWidth="1"/>
    <col min="12" max="12" width="9.16814159292035" customWidth="1"/>
    <col min="13" max="13" width="9.53097345132743"/>
    <col min="15" max="15" width="8.75221238938053" customWidth="1"/>
    <col min="16" max="16" width="9.32743362831858"/>
    <col min="21" max="21" width="9.53097345132743"/>
    <col min="24" max="24" width="9.32743362831858"/>
    <col min="33" max="33" width="9.53097345132743"/>
    <col min="36" max="36" width="9.32743362831858"/>
  </cols>
  <sheetData>
    <row r="1" spans="2:8">
      <c r="B1" t="s">
        <v>0</v>
      </c>
      <c r="C1" t="s">
        <v>1</v>
      </c>
      <c r="F1" t="s">
        <v>2</v>
      </c>
      <c r="H1" t="s">
        <v>3</v>
      </c>
    </row>
    <row r="2" spans="2:6">
      <c r="B2" t="s">
        <v>4</v>
      </c>
      <c r="C2" s="1">
        <v>16.8</v>
      </c>
      <c r="D2" s="1"/>
      <c r="F2" t="s">
        <v>5</v>
      </c>
    </row>
    <row r="5" ht="13.9" spans="1:10">
      <c r="A5" s="2" t="s">
        <v>6</v>
      </c>
      <c r="B5" s="3" t="s">
        <v>7</v>
      </c>
      <c r="C5" s="4" t="s">
        <v>8</v>
      </c>
      <c r="D5" s="4" t="s">
        <v>9</v>
      </c>
      <c r="E5" s="5"/>
      <c r="F5" s="4" t="s">
        <v>10</v>
      </c>
      <c r="G5" s="4" t="s">
        <v>11</v>
      </c>
      <c r="H5" s="4"/>
      <c r="I5" s="4" t="s">
        <v>12</v>
      </c>
      <c r="J5" t="s">
        <v>12</v>
      </c>
    </row>
    <row r="6" ht="374.25" spans="1:10">
      <c r="A6" s="6" t="s">
        <v>13</v>
      </c>
      <c r="B6" s="7" t="s">
        <v>14</v>
      </c>
      <c r="C6" s="8">
        <v>1138929</v>
      </c>
      <c r="D6" s="9">
        <v>0.00177</v>
      </c>
      <c r="E6" s="9"/>
      <c r="F6" s="4" t="s">
        <v>15</v>
      </c>
      <c r="G6" s="10" t="s">
        <v>16</v>
      </c>
      <c r="H6" s="11" t="s">
        <v>17</v>
      </c>
      <c r="I6" s="23" t="s">
        <v>18</v>
      </c>
      <c r="J6" s="24" t="s">
        <v>19</v>
      </c>
    </row>
    <row r="7" ht="72.75" customHeight="1" spans="2:9">
      <c r="B7" s="12" t="s">
        <v>20</v>
      </c>
      <c r="C7" s="13">
        <v>640794000</v>
      </c>
      <c r="D7" s="14">
        <v>0.998</v>
      </c>
      <c r="E7" s="9"/>
      <c r="F7" t="s">
        <v>21</v>
      </c>
      <c r="G7" t="s">
        <v>22</v>
      </c>
      <c r="I7" t="s">
        <v>23</v>
      </c>
    </row>
    <row r="8" ht="27.75" spans="2:6">
      <c r="B8" s="15" t="s">
        <v>24</v>
      </c>
      <c r="C8" s="4">
        <f>SUM(C6:C7)</f>
        <v>641932929</v>
      </c>
      <c r="D8" s="9">
        <v>1</v>
      </c>
      <c r="E8" s="9"/>
      <c r="F8" s="4"/>
    </row>
    <row r="12" ht="157.15" customHeight="1"/>
    <row r="13" ht="52.9" customHeight="1" spans="1:6">
      <c r="A13" s="16"/>
      <c r="B13" s="14"/>
      <c r="C13" s="14"/>
      <c r="D13" s="14"/>
      <c r="E13" s="14"/>
      <c r="F13" s="14"/>
    </row>
    <row r="14" ht="27.75" spans="2:6">
      <c r="B14" s="3" t="s">
        <v>25</v>
      </c>
      <c r="C14" s="3" t="s">
        <v>26</v>
      </c>
      <c r="D14" s="3" t="s">
        <v>27</v>
      </c>
      <c r="E14" s="3" t="s">
        <v>28</v>
      </c>
      <c r="F14" s="3" t="s">
        <v>29</v>
      </c>
    </row>
    <row r="15" ht="263.25" spans="1:8">
      <c r="A15" s="17" t="s">
        <v>30</v>
      </c>
      <c r="B15" s="15">
        <v>1</v>
      </c>
      <c r="C15" s="18" t="s">
        <v>31</v>
      </c>
      <c r="D15" s="7">
        <v>157680000</v>
      </c>
      <c r="E15" s="19">
        <v>73716.7</v>
      </c>
      <c r="F15" s="7"/>
      <c r="G15" s="7" t="s">
        <v>32</v>
      </c>
      <c r="H15" t="s">
        <v>33</v>
      </c>
    </row>
    <row r="16" ht="95" customHeight="1" spans="2:6">
      <c r="B16">
        <v>2</v>
      </c>
      <c r="C16" t="s">
        <v>34</v>
      </c>
      <c r="D16" s="13">
        <v>8800000</v>
      </c>
      <c r="E16" s="20">
        <v>4000</v>
      </c>
      <c r="F16" t="s">
        <v>35</v>
      </c>
    </row>
    <row r="17" ht="98" customHeight="1" spans="2:6">
      <c r="B17">
        <v>3</v>
      </c>
      <c r="C17" t="s">
        <v>36</v>
      </c>
      <c r="D17" s="13">
        <v>290000</v>
      </c>
      <c r="E17">
        <v>131.82</v>
      </c>
      <c r="F17" t="s">
        <v>37</v>
      </c>
    </row>
    <row r="18" ht="96" customHeight="1" spans="2:6">
      <c r="B18">
        <v>4</v>
      </c>
      <c r="C18" t="s">
        <v>38</v>
      </c>
      <c r="D18" s="13">
        <v>2356956</v>
      </c>
      <c r="E18" s="20">
        <v>1071.34</v>
      </c>
      <c r="F18" s="21" t="s">
        <v>39</v>
      </c>
    </row>
    <row r="19" ht="41.65" spans="2:6">
      <c r="B19" s="7">
        <v>5</v>
      </c>
      <c r="C19" s="22" t="s">
        <v>40</v>
      </c>
      <c r="D19" s="18">
        <v>119440000</v>
      </c>
      <c r="E19" s="18">
        <v>58720</v>
      </c>
      <c r="F19" s="7" t="s">
        <v>41</v>
      </c>
    </row>
    <row r="20" spans="2:12">
      <c r="B20">
        <v>6</v>
      </c>
      <c r="C20" t="s">
        <v>42</v>
      </c>
      <c r="D20" s="13">
        <v>54135400</v>
      </c>
      <c r="E20" s="20">
        <v>24607.08</v>
      </c>
      <c r="F20" t="s">
        <v>43</v>
      </c>
      <c r="J20" t="s">
        <v>44</v>
      </c>
      <c r="K20" t="s">
        <v>9</v>
      </c>
      <c r="L20" t="s">
        <v>45</v>
      </c>
    </row>
    <row r="21" ht="74.25" spans="2:16">
      <c r="B21">
        <v>7</v>
      </c>
      <c r="C21" t="s">
        <v>46</v>
      </c>
      <c r="D21" s="13">
        <v>4000000</v>
      </c>
      <c r="E21" s="20">
        <v>1818.18</v>
      </c>
      <c r="F21" s="21" t="s">
        <v>47</v>
      </c>
      <c r="J21" t="s">
        <v>48</v>
      </c>
      <c r="K21">
        <v>0.18</v>
      </c>
      <c r="L21">
        <v>19488000</v>
      </c>
      <c r="N21" s="25" t="s">
        <v>42</v>
      </c>
      <c r="O21" s="3" t="s">
        <v>49</v>
      </c>
      <c r="P21" s="3" t="s">
        <v>50</v>
      </c>
    </row>
    <row r="22" ht="124.9" spans="2:16">
      <c r="B22">
        <v>8</v>
      </c>
      <c r="C22" t="s">
        <v>51</v>
      </c>
      <c r="D22" s="13">
        <v>1200000</v>
      </c>
      <c r="E22">
        <v>545.45</v>
      </c>
      <c r="F22" t="s">
        <v>52</v>
      </c>
      <c r="J22" t="s">
        <v>53</v>
      </c>
      <c r="K22">
        <v>0.16</v>
      </c>
      <c r="L22">
        <v>17539200</v>
      </c>
      <c r="N22" s="15" t="s">
        <v>54</v>
      </c>
      <c r="O22" s="18">
        <v>200000</v>
      </c>
      <c r="P22" s="19" t="s">
        <v>55</v>
      </c>
    </row>
    <row r="23" ht="166.5" spans="2:19">
      <c r="B23">
        <v>9</v>
      </c>
      <c r="C23" t="s">
        <v>56</v>
      </c>
      <c r="D23" s="13">
        <v>112420</v>
      </c>
      <c r="E23">
        <v>51.1</v>
      </c>
      <c r="F23" t="s">
        <v>57</v>
      </c>
      <c r="J23" t="s">
        <v>58</v>
      </c>
      <c r="K23">
        <v>0.09</v>
      </c>
      <c r="L23">
        <v>9744000</v>
      </c>
      <c r="N23" s="15" t="s">
        <v>59</v>
      </c>
      <c r="O23" s="18">
        <v>1711200</v>
      </c>
      <c r="P23" s="19" t="s">
        <v>60</v>
      </c>
      <c r="Q23" s="26" t="s">
        <v>61</v>
      </c>
      <c r="R23" s="3" t="s">
        <v>49</v>
      </c>
      <c r="S23" s="3" t="s">
        <v>50</v>
      </c>
    </row>
    <row r="24" ht="111" spans="2:19">
      <c r="B24" t="s">
        <v>62</v>
      </c>
      <c r="D24" s="13">
        <v>347332960</v>
      </c>
      <c r="E24" s="20">
        <v>157879.53</v>
      </c>
      <c r="F24" t="s">
        <v>63</v>
      </c>
      <c r="J24" t="s">
        <v>64</v>
      </c>
      <c r="K24">
        <v>0.1</v>
      </c>
      <c r="L24">
        <v>11692800</v>
      </c>
      <c r="N24" s="15" t="s">
        <v>65</v>
      </c>
      <c r="O24" s="18">
        <v>1400000</v>
      </c>
      <c r="P24" s="19" t="s">
        <v>66</v>
      </c>
      <c r="Q24" s="15" t="s">
        <v>67</v>
      </c>
      <c r="R24" s="18">
        <v>350400</v>
      </c>
      <c r="S24" s="19" t="s">
        <v>68</v>
      </c>
    </row>
    <row r="25" ht="97.15" spans="10:19">
      <c r="J25" t="s">
        <v>69</v>
      </c>
      <c r="K25">
        <v>0.07</v>
      </c>
      <c r="L25">
        <v>7795200</v>
      </c>
      <c r="Q25" s="15" t="s">
        <v>70</v>
      </c>
      <c r="R25" s="18">
        <v>140160</v>
      </c>
      <c r="S25" s="19" t="s">
        <v>71</v>
      </c>
    </row>
    <row r="26" ht="97.15" spans="3:19">
      <c r="C26" t="s">
        <v>72</v>
      </c>
      <c r="J26" t="s">
        <v>73</v>
      </c>
      <c r="K26">
        <v>0.045</v>
      </c>
      <c r="L26">
        <v>4872000</v>
      </c>
      <c r="Q26" s="15" t="s">
        <v>74</v>
      </c>
      <c r="R26" s="18">
        <v>35040</v>
      </c>
      <c r="S26" s="19" t="s">
        <v>75</v>
      </c>
    </row>
    <row r="27" ht="55.5" spans="10:19">
      <c r="J27" t="s">
        <v>76</v>
      </c>
      <c r="K27">
        <v>0.07</v>
      </c>
      <c r="L27">
        <v>7795200</v>
      </c>
      <c r="Q27" s="15" t="s">
        <v>77</v>
      </c>
      <c r="R27" s="18">
        <v>50000</v>
      </c>
      <c r="S27" s="19" t="s">
        <v>78</v>
      </c>
    </row>
    <row r="28" ht="13.9" spans="2:19">
      <c r="B28" s="15"/>
      <c r="C28" s="7"/>
      <c r="J28" t="s">
        <v>79</v>
      </c>
      <c r="K28">
        <v>0.2</v>
      </c>
      <c r="L28">
        <v>22000000</v>
      </c>
      <c r="Q28" s="15" t="s">
        <v>4</v>
      </c>
      <c r="R28" s="18">
        <v>575600</v>
      </c>
      <c r="S28" s="7" t="s">
        <v>62</v>
      </c>
    </row>
    <row r="29" spans="10:12">
      <c r="J29" t="s">
        <v>80</v>
      </c>
      <c r="K29">
        <v>0.06</v>
      </c>
      <c r="L29">
        <v>6820800</v>
      </c>
    </row>
    <row r="31" spans="10:12">
      <c r="J31" t="s">
        <v>81</v>
      </c>
      <c r="K31"/>
      <c r="L31">
        <f>SUM(L21:L29)</f>
        <v>107747200</v>
      </c>
    </row>
    <row r="32" spans="10:12">
      <c r="J32" t="s">
        <v>82</v>
      </c>
      <c r="K32"/>
      <c r="L32">
        <v>49090</v>
      </c>
    </row>
    <row r="84" ht="49.5" spans="7:10">
      <c r="G84" s="27" t="s">
        <v>83</v>
      </c>
      <c r="H84" s="3" t="s">
        <v>49</v>
      </c>
      <c r="I84" s="3"/>
      <c r="J84" s="3" t="s">
        <v>84</v>
      </c>
    </row>
    <row r="85" ht="124.9" spans="7:10">
      <c r="G85" s="15" t="s">
        <v>85</v>
      </c>
      <c r="H85" s="18">
        <v>55556000</v>
      </c>
      <c r="I85" s="18"/>
      <c r="J85" s="19" t="s">
        <v>86</v>
      </c>
    </row>
    <row r="86" ht="111" spans="7:10">
      <c r="G86" s="15" t="s">
        <v>87</v>
      </c>
      <c r="H86" s="18">
        <v>37500000</v>
      </c>
      <c r="I86" s="18"/>
      <c r="J86" s="19" t="s">
        <v>88</v>
      </c>
    </row>
    <row r="87" ht="111" spans="7:10">
      <c r="G87" s="15" t="s">
        <v>89</v>
      </c>
      <c r="H87" s="18">
        <v>33333000</v>
      </c>
      <c r="I87" s="18"/>
      <c r="J87" s="19" t="s">
        <v>90</v>
      </c>
    </row>
    <row r="88" ht="55.5" spans="7:10">
      <c r="G88" s="15" t="s">
        <v>91</v>
      </c>
      <c r="H88" s="18">
        <v>3000000</v>
      </c>
      <c r="I88" s="18"/>
      <c r="J88" s="19" t="s">
        <v>92</v>
      </c>
    </row>
    <row r="89" ht="69.4" spans="7:10">
      <c r="G89" s="15" t="s">
        <v>77</v>
      </c>
      <c r="H89" s="18">
        <v>500000</v>
      </c>
      <c r="I89" s="18"/>
      <c r="J89" s="19" t="s">
        <v>93</v>
      </c>
    </row>
    <row r="90" ht="69.4" spans="7:10">
      <c r="G90" s="15" t="s">
        <v>94</v>
      </c>
      <c r="H90" s="18">
        <v>30000000</v>
      </c>
      <c r="I90" s="18"/>
      <c r="J90" s="19" t="s">
        <v>95</v>
      </c>
    </row>
    <row r="91" ht="55.5" spans="7:10">
      <c r="G91" s="15" t="s">
        <v>96</v>
      </c>
      <c r="H91" s="18">
        <v>5000000</v>
      </c>
      <c r="I91" s="18"/>
      <c r="J91" s="19" t="s">
        <v>97</v>
      </c>
    </row>
  </sheetData>
  <hyperlinks>
    <hyperlink ref="J85" r:id="rId1" display="假设每年生产50,000吨钢，钢铁生产需消耗约4 GJ/吨，1 GJ = 0.278 kWh (EIA)"/>
    <hyperlink ref="J86" r:id="rId1" display="假设每年生产30,000吨水泥，水泥生产需消耗约4.5 GJ/吨 (EIA)"/>
    <hyperlink ref="J87" r:id="rId1" display="假设每年生产10,000吨化肥，化肥生产需消耗约12 GJ/吨 (EIA)"/>
    <hyperlink ref="J88" r:id="rId2" display="平均电子制造的能耗，来源：IEA"/>
    <hyperlink ref="J89" r:id="rId2" display="平均通信设备制造的能耗，来源：IEA"/>
    <hyperlink ref="J90" r:id="rId3" display="电力生产设施消耗的电力，来源：EIA"/>
    <hyperlink ref="J91" r:id="rId1" display="运输系统所需电力，来源：EIA"/>
    <hyperlink ref="S26" r:id="rId4" display="假设占能耗的10%，基于服务器能耗，Energy Efficiency"/>
    <hyperlink ref="S25" r:id="rId5" display="假设占能耗的40%，基于服务器能耗，Energy Star"/>
    <hyperlink ref="S24" r:id="rId6" display="假设50台服务器，每台0.8 kW，Uptime Institute"/>
    <hyperlink ref="P24" r:id="rId7" display="公交车每辆80,000 kWh，5辆，通信设施1,000,000 kWh (US EPA)"/>
    <hyperlink ref="P23" r:id="rId8" display="假设每人年均消耗800 kWh，2139人计算 (EIA - Energy Consumption in Educational Facilities)"/>
    <hyperlink ref="P22" r:id="rId9" display="假设50张床位，每床位年消耗4,000 kWh (Energy Use in Hospitals - US DOE)"/>
    <hyperlink ref="S27" r:id="rId1" display="假设通信设备年消耗50,000 kWh，EIA"/>
    <hyperlink ref="H6" r:id="rId10" display="LONGi 700W（尺寸 2.382×1.134 m = 2.704 m²）→ 259 W/m²（700 ÷ 2.704）。LONGi Solar EuropeLONGi 情形：2,758.0 m² × 259 W/m² = 714,322 Wp = 714.322 kWp。  LONGi → ≈1,138,929 kWh/年（≈1.139 GWh/年）。&#10;ProfileSolar" tooltip="https://eu.longi.com/press/longi-unveils-hibc-module-with-world-first-700w-at-25-9-efficiency-and-259-w-m2-power-density?utm_source=chatgpt.com"/>
    <hyperlink ref="I6" r:id="rId11" display="https://profilesolar.com/locations/China/Dalian/                      https://eu.longi.com/press/longi-unveils-hibc-module-with-world-first-700w-at-25-9-efficiency-and-259-w-m2-power-density?utm_source=chatgpt.com      "/>
    <hyperlink ref="J6" r:id="rId12" display="https://www.sciencedirect.com/science/article/pii/S1738573317302358?utm_source=chatgpt.com     https://discovery.ucl.ac.uk/18982/1/18982.pdf?utm_source=chatgpt.com" tooltip="https://www.sciencedirect.com/science/article/pii/S1738573317302358?utm_source=chatgpt.com     https://discovery.ucl.ac.uk/18982/1/18982.pdf?utm_source=chatgpt.com"/>
    <hyperlink ref="F18" r:id="rId13" display="https://fsi-live.s3.us-west-1.amazonaws.com/s3fs-public/Pan_5nov.pdf"/>
    <hyperlink ref="F21" r:id="rId14" display="https://home.cern/news/news/knowledge-sharing/energy-efficiency-and-power-management-cern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弈卓 王</dc:creator>
  <cp:lastModifiedBy>霜</cp:lastModifiedBy>
  <dcterms:created xsi:type="dcterms:W3CDTF">2025-09-27T11:50:00Z</dcterms:created>
  <dcterms:modified xsi:type="dcterms:W3CDTF">2025-10-12T15:03:22Z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11B57DA4036342128EBD875BB43743A2_13</vt:lpwstr>
  </property>
  <property fmtid="{D5CDD505-2E9C-101B-9397-08002B2CF9AE}" pid="3" name="KSOProductBuildVer">
    <vt:lpwstr>2052-12.1.0.23125</vt:lpwstr>
  </property>
</Properties>
</file>